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Data\Eclipse - Workspace\NMS_Viewer\"/>
    </mc:Choice>
  </mc:AlternateContent>
  <xr:revisionPtr revIDLastSave="0" documentId="13_ncr:1_{44E6B22B-AEF1-438D-B56D-B459C5EA33CE}" xr6:coauthVersionLast="45" xr6:coauthVersionMax="45" xr10:uidLastSave="{00000000-0000-0000-0000-000000000000}"/>
  <bookViews>
    <workbookView xWindow="-120" yWindow="-120" windowWidth="29040" windowHeight="15840" xr2:uid="{4EF5D9B1-307E-4186-869E-E042D9893C02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0" i="1"/>
  <c r="O20" i="1" s="1"/>
  <c r="R20" i="1" s="1"/>
  <c r="L19" i="1"/>
  <c r="L16" i="1"/>
  <c r="L15" i="1"/>
  <c r="O15" i="1" s="1"/>
  <c r="R15" i="1" s="1"/>
  <c r="T12" i="1"/>
  <c r="S12" i="1"/>
  <c r="R12" i="1"/>
  <c r="L12" i="1"/>
  <c r="T11" i="1"/>
  <c r="S11" i="1"/>
  <c r="L11" i="1"/>
  <c r="M25" i="1" l="1"/>
  <c r="P25" i="1" s="1"/>
  <c r="S25" i="1" s="1"/>
  <c r="M24" i="1"/>
  <c r="P24" i="1" s="1"/>
  <c r="S24" i="1" s="1"/>
  <c r="O24" i="1"/>
  <c r="R24" i="1" s="1"/>
  <c r="O25" i="1"/>
  <c r="R25" i="1" s="1"/>
  <c r="M19" i="1"/>
  <c r="M20" i="1"/>
  <c r="O19" i="1"/>
  <c r="R19" i="1" s="1"/>
  <c r="R21" i="1" s="1"/>
  <c r="M16" i="1"/>
  <c r="O16" i="1"/>
  <c r="R16" i="1" s="1"/>
  <c r="R17" i="1" s="1"/>
  <c r="M15" i="1"/>
  <c r="S13" i="1"/>
  <c r="T13" i="1"/>
  <c r="O12" i="1"/>
  <c r="M12" i="1"/>
  <c r="M11" i="1"/>
  <c r="O11" i="1"/>
  <c r="R11" i="1" s="1"/>
  <c r="R13" i="1" s="1"/>
  <c r="U13" i="1" s="1"/>
  <c r="S26" i="1" l="1"/>
  <c r="N25" i="1"/>
  <c r="Q25" i="1" s="1"/>
  <c r="T25" i="1" s="1"/>
  <c r="R26" i="1"/>
  <c r="N24" i="1"/>
  <c r="Q24" i="1" s="1"/>
  <c r="T24" i="1" s="1"/>
  <c r="N20" i="1"/>
  <c r="Q20" i="1"/>
  <c r="T20" i="1" s="1"/>
  <c r="N19" i="1"/>
  <c r="Q19" i="1" s="1"/>
  <c r="T19" i="1" s="1"/>
  <c r="P20" i="1"/>
  <c r="S20" i="1" s="1"/>
  <c r="P19" i="1"/>
  <c r="S19" i="1" s="1"/>
  <c r="N15" i="1"/>
  <c r="Q15" i="1" s="1"/>
  <c r="T15" i="1" s="1"/>
  <c r="P15" i="1"/>
  <c r="S15" i="1" s="1"/>
  <c r="N16" i="1"/>
  <c r="Q16" i="1" s="1"/>
  <c r="T16" i="1" s="1"/>
  <c r="P16" i="1"/>
  <c r="S16" i="1" s="1"/>
  <c r="N12" i="1"/>
  <c r="Q12" i="1" s="1"/>
  <c r="P12" i="1"/>
  <c r="N11" i="1"/>
  <c r="Q11" i="1" s="1"/>
  <c r="P11" i="1"/>
  <c r="T21" i="1" l="1"/>
  <c r="T26" i="1"/>
  <c r="U26" i="1" s="1"/>
  <c r="S21" i="1"/>
  <c r="T17" i="1"/>
  <c r="S17" i="1"/>
  <c r="U17" i="1" s="1"/>
  <c r="U21" i="1" l="1"/>
</calcChain>
</file>

<file path=xl/sharedStrings.xml><?xml version="1.0" encoding="utf-8"?>
<sst xmlns="http://schemas.openxmlformats.org/spreadsheetml/2006/main" count="33" uniqueCount="32">
  <si>
    <t>( 8.91 , -0.20 , 38.40 )</t>
  </si>
  <si>
    <t>( 3.97 , -0.20 , 40.42 )</t>
  </si>
  <si>
    <t>( 1.95 , -0.20 , 35.49 )</t>
  </si>
  <si>
    <t>( 6.88 , -0.20 , 33.46 )</t>
  </si>
  <si>
    <t>( 8.91 , 3.13 , 38.40 )</t>
  </si>
  <si>
    <t>( 5.36 , 2.19 , 37.18 )</t>
  </si>
  <si>
    <t>( 5.65 , 2.19 , 37.09 )</t>
  </si>
  <si>
    <t>^M_ARCH</t>
  </si>
  <si>
    <t>^M_ARCH_H</t>
  </si>
  <si>
    <t>^M_DOOR</t>
  </si>
  <si>
    <t>^M_DOORWINDOW</t>
  </si>
  <si>
    <t>^M_DOOR_H</t>
  </si>
  <si>
    <t>^M_FLOOR</t>
  </si>
  <si>
    <t>^M_FLOOR_Q</t>
  </si>
  <si>
    <t>^M_GDOOR</t>
  </si>
  <si>
    <t>^M_GDOOR_D</t>
  </si>
  <si>
    <t>^M_GFLOOR</t>
  </si>
  <si>
    <t>^M_RAMP</t>
  </si>
  <si>
    <t>^M_RAMP_H</t>
  </si>
  <si>
    <t>^M_ROOF</t>
  </si>
  <si>
    <t>^M_ROOF_C</t>
  </si>
  <si>
    <t>^M_ROOF_IC</t>
  </si>
  <si>
    <t>^M_ROOF_M</t>
  </si>
  <si>
    <t>^M_SDOOR</t>
  </si>
  <si>
    <t>^M_TRIFLOOR</t>
  </si>
  <si>
    <t>^M_TRIFLOOR_Q</t>
  </si>
  <si>
    <t>^M_WALL</t>
  </si>
  <si>
    <t>^M_WALLDIAGONAL</t>
  </si>
  <si>
    <t>^M_WALL_H</t>
  </si>
  <si>
    <t>^M_WALL_Q</t>
  </si>
  <si>
    <t>^M_WALL_Q_H</t>
  </si>
  <si>
    <t>^M_WALL_WINDOW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</si>
</sst>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AF08-4A3E-4CFE-B210-4C3C7BEC84B7}">
  <dimension ref="B4:U28"/>
  <sheetViews>
    <sheetView tabSelected="1" workbookViewId="0">
      <selection activeCell="B4" sqref="B4:B28"/>
    </sheetView>
  </sheetViews>
  <sheetFormatPr baseColWidth="10" defaultRowHeight="15" x14ac:dyDescent="0.25"/>
  <cols>
    <col min="2" max="2" width="19.140625" bestFit="1" customWidth="1"/>
    <col min="3" max="3" width="14" bestFit="1" customWidth="1"/>
    <col min="4" max="4" width="19.140625" bestFit="1" customWidth="1"/>
    <col min="5" max="5" width="11" bestFit="1" customWidth="1"/>
    <col min="6" max="6" width="23.5703125" customWidth="1"/>
    <col min="7" max="7" width="29.7109375" customWidth="1"/>
    <col min="8" max="8" width="26.28515625" customWidth="1"/>
    <col min="9" max="9" width="4.42578125" bestFit="1" customWidth="1"/>
    <col min="10" max="10" width="4.42578125" customWidth="1"/>
    <col min="11" max="11" width="18.7109375" bestFit="1" customWidth="1"/>
    <col min="12" max="14" width="3" customWidth="1"/>
    <col min="15" max="15" width="4.5703125" bestFit="1" customWidth="1"/>
    <col min="16" max="16" width="5.28515625" bestFit="1" customWidth="1"/>
    <col min="17" max="17" width="5.5703125" bestFit="1" customWidth="1"/>
  </cols>
  <sheetData>
    <row r="4" spans="2:21" x14ac:dyDescent="0.25">
      <c r="B4" s="2" t="s">
        <v>7</v>
      </c>
      <c r="C4" s="3"/>
      <c r="D4" s="3"/>
      <c r="E4" s="3"/>
      <c r="F4" s="3"/>
      <c r="G4" s="3"/>
      <c r="H4" s="3"/>
      <c r="I4" s="3"/>
      <c r="J4" s="3"/>
    </row>
    <row r="5" spans="2:21" x14ac:dyDescent="0.25">
      <c r="B5" s="2" t="s">
        <v>8</v>
      </c>
      <c r="C5" s="3"/>
      <c r="D5" s="3"/>
      <c r="E5" s="3"/>
      <c r="F5" s="3"/>
      <c r="G5" s="3"/>
      <c r="H5" s="3"/>
      <c r="I5" s="3"/>
      <c r="J5" s="3"/>
    </row>
    <row r="6" spans="2:21" x14ac:dyDescent="0.25">
      <c r="B6" s="2" t="s">
        <v>9</v>
      </c>
      <c r="C6" s="3"/>
      <c r="D6" s="3"/>
      <c r="E6" s="3"/>
      <c r="F6" s="3"/>
      <c r="G6" s="3"/>
      <c r="H6" s="3"/>
      <c r="I6" s="3"/>
      <c r="J6" s="3"/>
    </row>
    <row r="7" spans="2:21" x14ac:dyDescent="0.25">
      <c r="B7" s="2" t="s">
        <v>10</v>
      </c>
      <c r="C7" s="3"/>
      <c r="D7" s="3"/>
      <c r="E7" s="3"/>
      <c r="F7" s="3"/>
      <c r="G7" s="3"/>
      <c r="H7" s="3"/>
      <c r="I7" s="3"/>
      <c r="J7" s="3"/>
    </row>
    <row r="8" spans="2:21" x14ac:dyDescent="0.25">
      <c r="B8" s="2" t="s">
        <v>11</v>
      </c>
      <c r="C8" s="3"/>
      <c r="D8" s="3"/>
      <c r="E8" s="3"/>
      <c r="F8" s="3"/>
      <c r="G8" s="3"/>
      <c r="H8" s="3"/>
      <c r="I8" s="3"/>
      <c r="J8" s="3"/>
    </row>
    <row r="9" spans="2:21" x14ac:dyDescent="0.25">
      <c r="B9" s="2" t="s">
        <v>12</v>
      </c>
      <c r="C9" s="3"/>
      <c r="D9" s="3"/>
      <c r="E9" s="3"/>
      <c r="F9" s="3"/>
      <c r="G9" s="3"/>
      <c r="H9" s="3"/>
      <c r="I9" s="3"/>
      <c r="J9" s="3"/>
    </row>
    <row r="10" spans="2:21" x14ac:dyDescent="0.25">
      <c r="B10" s="2" t="s">
        <v>13</v>
      </c>
      <c r="C10" s="3"/>
      <c r="D10" s="3"/>
      <c r="E10" s="3"/>
      <c r="F10" s="3"/>
      <c r="G10" s="3"/>
      <c r="H10" s="3"/>
      <c r="I10" s="3"/>
      <c r="J10" s="3"/>
    </row>
    <row r="11" spans="2:21" x14ac:dyDescent="0.25">
      <c r="B11" s="2" t="s">
        <v>14</v>
      </c>
      <c r="C11" s="3"/>
      <c r="D11" s="3"/>
      <c r="E11" s="3"/>
      <c r="F11" s="3"/>
      <c r="G11" s="3"/>
      <c r="H11" s="3"/>
      <c r="I11" s="3"/>
      <c r="J11" s="3"/>
      <c r="K11" t="s">
        <v>0</v>
      </c>
      <c r="L11">
        <f>FIND(" , ",K11)</f>
        <v>7</v>
      </c>
      <c r="M11">
        <f>FIND(" , ",K11,L11+1)</f>
        <v>15</v>
      </c>
      <c r="N11">
        <f>FIND(" )",K11,M11+1)</f>
        <v>23</v>
      </c>
      <c r="O11" t="str">
        <f>MID(K11,3,L11-3)</f>
        <v>8.91</v>
      </c>
      <c r="P11" t="str">
        <f>MID(K11,L11+3,M11-L11-3)</f>
        <v>-0.20</v>
      </c>
      <c r="Q11" t="str">
        <f>MID(K11,M11+3,N11-M11-3)</f>
        <v>38.40</v>
      </c>
      <c r="R11" s="1">
        <f>VALUE(O11)</f>
        <v>8.91</v>
      </c>
      <c r="S11" s="1">
        <f>VALUE(P11)</f>
        <v>-0.2</v>
      </c>
      <c r="T11" s="1">
        <f>VALUE(Q11)</f>
        <v>38.4</v>
      </c>
    </row>
    <row r="12" spans="2:21" x14ac:dyDescent="0.25">
      <c r="B12" s="2" t="s">
        <v>15</v>
      </c>
      <c r="C12" s="3"/>
      <c r="D12" s="3"/>
      <c r="E12" s="3"/>
      <c r="F12" s="3"/>
      <c r="G12" s="3"/>
      <c r="H12" s="3"/>
      <c r="I12" s="3"/>
      <c r="J12" s="3"/>
      <c r="K12" t="s">
        <v>1</v>
      </c>
      <c r="L12">
        <f>FIND(" , ",K12)</f>
        <v>7</v>
      </c>
      <c r="M12">
        <f>FIND(" , ",K12,L12+1)</f>
        <v>15</v>
      </c>
      <c r="N12">
        <f>FIND(" )",K12,M12+1)</f>
        <v>23</v>
      </c>
      <c r="O12" t="str">
        <f>MID(K12,3,L12-3)</f>
        <v>3.97</v>
      </c>
      <c r="P12" t="str">
        <f>MID(K12,L12+3,M12-L12-3)</f>
        <v>-0.20</v>
      </c>
      <c r="Q12" t="str">
        <f>MID(K12,M12+3,N12-M12-3)</f>
        <v>40.42</v>
      </c>
      <c r="R12" s="1">
        <f>VALUE(O12)</f>
        <v>3.97</v>
      </c>
      <c r="S12" s="1">
        <f>VALUE(P12)</f>
        <v>-0.2</v>
      </c>
      <c r="T12" s="1">
        <f>VALUE(Q12)</f>
        <v>40.42</v>
      </c>
    </row>
    <row r="13" spans="2:21" x14ac:dyDescent="0.25">
      <c r="B13" s="2" t="s">
        <v>16</v>
      </c>
      <c r="C13" s="3"/>
      <c r="D13" s="3"/>
      <c r="E13" s="3"/>
      <c r="F13" s="3"/>
      <c r="G13" s="3"/>
      <c r="H13" s="3"/>
      <c r="I13" s="3"/>
      <c r="J13" s="3"/>
      <c r="R13">
        <f>R11-R12</f>
        <v>4.9399999999999995</v>
      </c>
      <c r="S13">
        <f>S11-S12</f>
        <v>0</v>
      </c>
      <c r="T13">
        <f>T11-T12</f>
        <v>-2.0200000000000031</v>
      </c>
      <c r="U13">
        <f>SQRT(R13*R13+S13*S13+T13*T13)</f>
        <v>5.3370403783370426</v>
      </c>
    </row>
    <row r="14" spans="2:21" x14ac:dyDescent="0.25">
      <c r="B14" s="2" t="s">
        <v>17</v>
      </c>
      <c r="C14" s="3"/>
      <c r="D14" s="3"/>
      <c r="E14" s="3"/>
      <c r="F14" s="3"/>
      <c r="G14" s="3"/>
      <c r="H14" s="3"/>
      <c r="I14" s="3"/>
      <c r="J14" s="3"/>
    </row>
    <row r="15" spans="2:21" x14ac:dyDescent="0.25">
      <c r="B15" s="2" t="s">
        <v>18</v>
      </c>
      <c r="C15" s="3"/>
      <c r="D15" s="3"/>
      <c r="E15" s="3"/>
      <c r="F15" s="3"/>
      <c r="G15" s="3"/>
      <c r="H15" s="3"/>
      <c r="I15" s="3"/>
      <c r="J15" s="3"/>
      <c r="K15" t="s">
        <v>2</v>
      </c>
      <c r="L15">
        <f>FIND(" , ",K15)</f>
        <v>7</v>
      </c>
      <c r="M15">
        <f>FIND(" , ",K15,L15+1)</f>
        <v>15</v>
      </c>
      <c r="N15">
        <f>FIND(" )",K15,M15+1)</f>
        <v>23</v>
      </c>
      <c r="O15" t="str">
        <f>MID(K15,3,L15-3)</f>
        <v>1.95</v>
      </c>
      <c r="P15" t="str">
        <f>MID(K15,L15+3,M15-L15-3)</f>
        <v>-0.20</v>
      </c>
      <c r="Q15" t="str">
        <f>MID(K15,M15+3,N15-M15-3)</f>
        <v>35.49</v>
      </c>
      <c r="R15" s="1">
        <f>VALUE(O15)</f>
        <v>1.95</v>
      </c>
      <c r="S15" s="1">
        <f>VALUE(P15)</f>
        <v>-0.2</v>
      </c>
      <c r="T15" s="1">
        <f>VALUE(Q15)</f>
        <v>35.49</v>
      </c>
    </row>
    <row r="16" spans="2:21" x14ac:dyDescent="0.25">
      <c r="B16" s="2" t="s">
        <v>19</v>
      </c>
      <c r="C16" s="3"/>
      <c r="D16" s="3"/>
      <c r="E16" s="3"/>
      <c r="F16" s="3"/>
      <c r="G16" s="3"/>
      <c r="H16" s="3"/>
      <c r="I16" s="3"/>
      <c r="J16" s="3"/>
      <c r="K16" t="s">
        <v>3</v>
      </c>
      <c r="L16">
        <f>FIND(" , ",K16)</f>
        <v>7</v>
      </c>
      <c r="M16">
        <f>FIND(" , ",K16,L16+1)</f>
        <v>15</v>
      </c>
      <c r="N16">
        <f>FIND(" )",K16,M16+1)</f>
        <v>23</v>
      </c>
      <c r="O16" t="str">
        <f>MID(K16,3,L16-3)</f>
        <v>6.88</v>
      </c>
      <c r="P16" t="str">
        <f>MID(K16,L16+3,M16-L16-3)</f>
        <v>-0.20</v>
      </c>
      <c r="Q16" t="str">
        <f>MID(K16,M16+3,N16-M16-3)</f>
        <v>33.46</v>
      </c>
      <c r="R16" s="1">
        <f>VALUE(O16)</f>
        <v>6.88</v>
      </c>
      <c r="S16" s="1">
        <f>VALUE(P16)</f>
        <v>-0.2</v>
      </c>
      <c r="T16" s="1">
        <f>VALUE(Q16)</f>
        <v>33.46</v>
      </c>
    </row>
    <row r="17" spans="2:21" x14ac:dyDescent="0.25">
      <c r="B17" s="2" t="s">
        <v>20</v>
      </c>
      <c r="C17" s="3"/>
      <c r="D17" s="3"/>
      <c r="E17" s="3"/>
      <c r="F17" s="3"/>
      <c r="G17" s="3"/>
      <c r="H17" s="3"/>
      <c r="I17" s="3"/>
      <c r="J17" s="3"/>
      <c r="R17">
        <f>R15-R16</f>
        <v>-4.93</v>
      </c>
      <c r="S17">
        <f>S15-S16</f>
        <v>0</v>
      </c>
      <c r="T17">
        <f>T15-T16</f>
        <v>2.0300000000000011</v>
      </c>
      <c r="U17">
        <f>SQRT(R17*R17+S17*S17+T17*T17)</f>
        <v>5.3315851301465687</v>
      </c>
    </row>
    <row r="18" spans="2:21" x14ac:dyDescent="0.25">
      <c r="B18" s="2" t="s">
        <v>21</v>
      </c>
      <c r="C18" s="3"/>
      <c r="D18" s="3"/>
      <c r="E18" s="3"/>
      <c r="F18" s="3"/>
      <c r="G18" s="3"/>
      <c r="H18" s="3"/>
      <c r="I18" s="3"/>
      <c r="J18" s="3"/>
    </row>
    <row r="19" spans="2:21" x14ac:dyDescent="0.25">
      <c r="B19" s="2" t="s">
        <v>22</v>
      </c>
      <c r="C19" s="3"/>
      <c r="D19" s="3"/>
      <c r="E19" s="3"/>
      <c r="F19" s="3"/>
      <c r="G19" s="3"/>
      <c r="H19" s="3"/>
      <c r="I19" s="3"/>
      <c r="J19" s="3"/>
      <c r="K19" t="s">
        <v>0</v>
      </c>
      <c r="L19">
        <f>FIND(" , ",K19)</f>
        <v>7</v>
      </c>
      <c r="M19">
        <f>FIND(" , ",K19,L19+1)</f>
        <v>15</v>
      </c>
      <c r="N19">
        <f>FIND(" )",K19,M19+1)</f>
        <v>23</v>
      </c>
      <c r="O19" t="str">
        <f>MID(K19,3,L19-3)</f>
        <v>8.91</v>
      </c>
      <c r="P19" t="str">
        <f>MID(K19,L19+3,M19-L19-3)</f>
        <v>-0.20</v>
      </c>
      <c r="Q19" t="str">
        <f>MID(K19,M19+3,N19-M19-3)</f>
        <v>38.40</v>
      </c>
      <c r="R19" s="1">
        <f>VALUE(O19)</f>
        <v>8.91</v>
      </c>
      <c r="S19" s="1">
        <f>VALUE(P19)</f>
        <v>-0.2</v>
      </c>
      <c r="T19" s="1">
        <f>VALUE(Q19)</f>
        <v>38.4</v>
      </c>
    </row>
    <row r="20" spans="2:21" x14ac:dyDescent="0.25">
      <c r="B20" s="2" t="s">
        <v>23</v>
      </c>
      <c r="C20" s="3"/>
      <c r="D20" s="3"/>
      <c r="E20" s="3"/>
      <c r="F20" s="3"/>
      <c r="G20" s="3"/>
      <c r="H20" s="3"/>
      <c r="I20" s="3"/>
      <c r="J20" s="3"/>
      <c r="K20" t="s">
        <v>4</v>
      </c>
      <c r="L20">
        <f>FIND(" , ",K20)</f>
        <v>7</v>
      </c>
      <c r="M20">
        <f>FIND(" , ",K20,L20+1)</f>
        <v>14</v>
      </c>
      <c r="N20">
        <f>FIND(" )",K20,M20+1)</f>
        <v>22</v>
      </c>
      <c r="O20" t="str">
        <f>MID(K20,3,L20-3)</f>
        <v>8.91</v>
      </c>
      <c r="P20" t="str">
        <f>MID(K20,L20+3,M20-L20-3)</f>
        <v>3.13</v>
      </c>
      <c r="Q20" t="str">
        <f>MID(K20,M20+3,N20-M20-3)</f>
        <v>38.40</v>
      </c>
      <c r="R20" s="1">
        <f>VALUE(O20)</f>
        <v>8.91</v>
      </c>
      <c r="S20" s="1">
        <f>VALUE(P20)</f>
        <v>3.13</v>
      </c>
      <c r="T20" s="1">
        <f>VALUE(Q20)</f>
        <v>38.4</v>
      </c>
    </row>
    <row r="21" spans="2:21" x14ac:dyDescent="0.25">
      <c r="B21" t="s">
        <v>24</v>
      </c>
      <c r="R21">
        <f>R19-R20</f>
        <v>0</v>
      </c>
      <c r="S21">
        <f>S19-S20</f>
        <v>-3.33</v>
      </c>
      <c r="T21">
        <f>T19-T20</f>
        <v>0</v>
      </c>
      <c r="U21">
        <f>SQRT(R21*R21+S21*S21+T21*T21)</f>
        <v>3.33</v>
      </c>
    </row>
    <row r="22" spans="2:21" x14ac:dyDescent="0.25">
      <c r="B22" t="s">
        <v>25</v>
      </c>
    </row>
    <row r="23" spans="2:21" x14ac:dyDescent="0.25">
      <c r="B23" t="s">
        <v>26</v>
      </c>
    </row>
    <row r="24" spans="2:21" x14ac:dyDescent="0.25">
      <c r="B24" t="s">
        <v>27</v>
      </c>
      <c r="K24" t="s">
        <v>5</v>
      </c>
      <c r="L24">
        <f>FIND(" , ",K24)</f>
        <v>7</v>
      </c>
      <c r="M24">
        <f>FIND(" , ",K24,L24+1)</f>
        <v>14</v>
      </c>
      <c r="N24">
        <f>FIND(" )",K24,M24+1)</f>
        <v>22</v>
      </c>
      <c r="O24" t="str">
        <f>MID(K24,3,L24-3)</f>
        <v>5.36</v>
      </c>
      <c r="P24" t="str">
        <f>MID(K24,L24+3,M24-L24-3)</f>
        <v>2.19</v>
      </c>
      <c r="Q24" t="str">
        <f>MID(K24,M24+3,N24-M24-3)</f>
        <v>37.18</v>
      </c>
      <c r="R24" s="1">
        <f>VALUE(O24)</f>
        <v>5.36</v>
      </c>
      <c r="S24" s="1">
        <f>VALUE(P24)</f>
        <v>2.19</v>
      </c>
      <c r="T24" s="1">
        <f>VALUE(Q24)</f>
        <v>37.18</v>
      </c>
    </row>
    <row r="25" spans="2:21" x14ac:dyDescent="0.25">
      <c r="B25" t="s">
        <v>28</v>
      </c>
      <c r="K25" t="s">
        <v>6</v>
      </c>
      <c r="L25">
        <f>FIND(" , ",K25)</f>
        <v>7</v>
      </c>
      <c r="M25">
        <f>FIND(" , ",K25,L25+1)</f>
        <v>14</v>
      </c>
      <c r="N25">
        <f>FIND(" )",K25,M25+1)</f>
        <v>22</v>
      </c>
      <c r="O25" t="str">
        <f>MID(K25,3,L25-3)</f>
        <v>5.65</v>
      </c>
      <c r="P25" t="str">
        <f>MID(K25,L25+3,M25-L25-3)</f>
        <v>2.19</v>
      </c>
      <c r="Q25" t="str">
        <f>MID(K25,M25+3,N25-M25-3)</f>
        <v>37.09</v>
      </c>
      <c r="R25" s="1">
        <f>VALUE(O25)</f>
        <v>5.65</v>
      </c>
      <c r="S25" s="1">
        <f>VALUE(P25)</f>
        <v>2.19</v>
      </c>
      <c r="T25" s="1">
        <f>VALUE(Q25)</f>
        <v>37.090000000000003</v>
      </c>
    </row>
    <row r="26" spans="2:21" x14ac:dyDescent="0.25">
      <c r="B26" t="s">
        <v>29</v>
      </c>
      <c r="R26">
        <f>R24-R25</f>
        <v>-0.29000000000000004</v>
      </c>
      <c r="S26">
        <f>S24-S25</f>
        <v>0</v>
      </c>
      <c r="T26">
        <f>T24-T25</f>
        <v>8.9999999999996305E-2</v>
      </c>
      <c r="U26">
        <f>SQRT(R26*R26+S26*S26+T26*T26)</f>
        <v>0.30364452901377847</v>
      </c>
    </row>
    <row r="27" spans="2:21" x14ac:dyDescent="0.25">
      <c r="B27" t="s">
        <v>30</v>
      </c>
    </row>
    <row r="28" spans="2:21" x14ac:dyDescent="0.25">
      <c r="B28" t="s">
        <v>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6532-323F-4EE8-9F49-D2C9B7BC1DE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2</dc:creator>
  <cp:lastModifiedBy>Hendrik 2</cp:lastModifiedBy>
  <dcterms:created xsi:type="dcterms:W3CDTF">2019-12-02T10:02:58Z</dcterms:created>
  <dcterms:modified xsi:type="dcterms:W3CDTF">2019-12-02T17:33:52Z</dcterms:modified>
</cp:coreProperties>
</file>